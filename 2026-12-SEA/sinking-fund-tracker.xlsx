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₱&quot;#,##0"/>
  </numFmts>
  <fonts count="12">
    <font>
      <name val="Calibri"/>
      <family val="2"/>
      <color theme="1"/>
      <sz val="11"/>
      <scheme val="minor"/>
    </font>
    <font>
      <b val="1"/>
      <color rgb="FF18181B"/>
      <sz val="14"/>
    </font>
    <font>
      <color rgb="FF8B8B93"/>
      <sz val="10"/>
    </font>
    <font>
      <i val="1"/>
      <color rgb="FF8B8B93"/>
      <sz val="10"/>
    </font>
    <font>
      <b val="1"/>
      <color rgb="FFFFFFFF"/>
      <sz val="10"/>
    </font>
    <font>
      <b val="1"/>
      <color rgb="FF18181B"/>
    </font>
    <font>
      <color rgb="FFC1531F"/>
    </font>
    <font>
      <b val="1"/>
      <color rgb="FFC1531F"/>
    </font>
    <font>
      <b val="1"/>
      <color rgb="FF18181B"/>
      <sz val="11"/>
    </font>
    <font>
      <color rgb="FF8B8B93"/>
    </font>
    <font>
      <b val="1"/>
      <color rgb="FF18181B"/>
      <sz val="12"/>
    </font>
    <font>
      <b val="1"/>
      <color rgb="FFC1531F"/>
      <sz val="12"/>
    </font>
  </fonts>
  <fills count="3">
    <fill>
      <patternFill/>
    </fill>
    <fill>
      <patternFill patternType="gray125"/>
    </fill>
    <fill>
      <patternFill patternType="solid">
        <fgColor rgb="FF18181B"/>
      </patternFill>
    </fill>
  </fills>
  <borders count="2">
    <border>
      <left/>
      <right/>
      <top/>
      <bottom/>
      <diagonal/>
    </border>
    <border>
      <bottom style="thin">
        <color rgb="FFD8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164" fontId="0" fillId="0" borderId="1" applyAlignment="1" pivotButton="0" quotePrefix="0" xfId="0">
      <alignment horizontal="right"/>
    </xf>
    <xf numFmtId="164" fontId="5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164" fontId="11" fillId="0" borderId="0" pivotButton="0" quotePrefix="0" xfId="0"/>
  </cellXfs>
  <cellStyles count="1">
    <cellStyle name="Normal" xfId="0" builtinId="0" hidden="0"/>
  </cellStyles>
  <dxfs count="3">
    <dxf>
      <font>
        <b val="1"/>
        <color rgb="FF1A7F5A"/>
      </font>
    </dxf>
    <dxf>
      <font>
        <color rgb="FFC1531F"/>
      </font>
    </dxf>
    <dxf>
      <fill>
        <patternFill patternType="solid">
          <fgColor rgb="FFE7F6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Southeast Asia, Dec 2026: sinking fund</t>
        </is>
      </c>
    </row>
    <row r="2">
      <c r="A2" s="2" t="inlineStr">
        <is>
          <t>₱2,000 each per cutoff · 13th and 28th · 28 Jul to 13 Dec 2026 · 5 travellers</t>
        </is>
      </c>
    </row>
    <row r="3">
      <c r="A3" s="3" t="inlineStr">
        <is>
          <t>Enter the amount received in each person's column. Everything else calculates itself.</t>
        </is>
      </c>
    </row>
    <row r="5" ht="22" customHeight="1">
      <c r="A5" s="4" t="inlineStr">
        <is>
          <t>#</t>
        </is>
      </c>
      <c r="B5" s="4" t="inlineStr">
        <is>
          <t>Cutoff</t>
        </is>
      </c>
      <c r="C5" s="5" t="inlineStr">
        <is>
          <t>Gamaliel</t>
        </is>
      </c>
      <c r="D5" s="5" t="inlineStr">
        <is>
          <t>Marianne</t>
        </is>
      </c>
      <c r="E5" s="5" t="inlineStr">
        <is>
          <t>Alysson</t>
        </is>
      </c>
      <c r="F5" s="5" t="inlineStr">
        <is>
          <t>Kevin</t>
        </is>
      </c>
      <c r="G5" s="5" t="inlineStr">
        <is>
          <t>Jan</t>
        </is>
      </c>
      <c r="H5" s="5" t="inlineStr">
        <is>
          <t>Collected</t>
        </is>
      </c>
      <c r="I5" s="5" t="inlineStr">
        <is>
          <t>Expected</t>
        </is>
      </c>
      <c r="J5" s="5" t="inlineStr">
        <is>
          <t>Short by</t>
        </is>
      </c>
      <c r="K5" s="5" t="inlineStr">
        <is>
          <t>Who's in</t>
        </is>
      </c>
    </row>
    <row r="6">
      <c r="A6" s="6" t="n">
        <v>1</v>
      </c>
      <c r="B6" s="7" t="inlineStr">
        <is>
          <t>2026-07-28</t>
        </is>
      </c>
      <c r="C6" s="8" t="n"/>
      <c r="D6" s="8" t="n"/>
      <c r="E6" s="8" t="n"/>
      <c r="F6" s="8" t="n"/>
      <c r="G6" s="8" t="n"/>
      <c r="H6" s="9">
        <f>SUM(C6:G6)</f>
        <v/>
      </c>
      <c r="I6" s="10" t="n">
        <v>10000</v>
      </c>
      <c r="J6" s="10">
        <f>I6-H6</f>
        <v/>
      </c>
      <c r="K6" s="6">
        <f>COUNTIF(C6:G6,"&gt;0")&amp;" of 5"</f>
        <v/>
      </c>
    </row>
    <row r="7">
      <c r="A7" s="6" t="n">
        <v>2</v>
      </c>
      <c r="B7" s="7" t="inlineStr">
        <is>
          <t>2026-08-13</t>
        </is>
      </c>
      <c r="C7" s="8" t="n"/>
      <c r="D7" s="8" t="n"/>
      <c r="E7" s="8" t="n"/>
      <c r="F7" s="8" t="n"/>
      <c r="G7" s="8" t="n"/>
      <c r="H7" s="9">
        <f>SUM(C7:G7)</f>
        <v/>
      </c>
      <c r="I7" s="10" t="n">
        <v>10000</v>
      </c>
      <c r="J7" s="10">
        <f>I7-H7</f>
        <v/>
      </c>
      <c r="K7" s="6">
        <f>COUNTIF(C7:G7,"&gt;0")&amp;" of 5"</f>
        <v/>
      </c>
    </row>
    <row r="8">
      <c r="A8" s="6" t="n">
        <v>3</v>
      </c>
      <c r="B8" s="7" t="inlineStr">
        <is>
          <t>2026-08-28</t>
        </is>
      </c>
      <c r="C8" s="8" t="n"/>
      <c r="D8" s="8" t="n"/>
      <c r="E8" s="8" t="n"/>
      <c r="F8" s="8" t="n"/>
      <c r="G8" s="8" t="n"/>
      <c r="H8" s="9">
        <f>SUM(C8:G8)</f>
        <v/>
      </c>
      <c r="I8" s="10" t="n">
        <v>10000</v>
      </c>
      <c r="J8" s="10">
        <f>I8-H8</f>
        <v/>
      </c>
      <c r="K8" s="6">
        <f>COUNTIF(C8:G8,"&gt;0")&amp;" of 5"</f>
        <v/>
      </c>
    </row>
    <row r="9">
      <c r="A9" s="6" t="n">
        <v>4</v>
      </c>
      <c r="B9" s="7" t="inlineStr">
        <is>
          <t>2026-09-13</t>
        </is>
      </c>
      <c r="C9" s="8" t="n"/>
      <c r="D9" s="8" t="n"/>
      <c r="E9" s="8" t="n"/>
      <c r="F9" s="8" t="n"/>
      <c r="G9" s="8" t="n"/>
      <c r="H9" s="9">
        <f>SUM(C9:G9)</f>
        <v/>
      </c>
      <c r="I9" s="10" t="n">
        <v>10000</v>
      </c>
      <c r="J9" s="10">
        <f>I9-H9</f>
        <v/>
      </c>
      <c r="K9" s="6">
        <f>COUNTIF(C9:G9,"&gt;0")&amp;" of 5"</f>
        <v/>
      </c>
    </row>
    <row r="10">
      <c r="A10" s="6" t="n">
        <v>5</v>
      </c>
      <c r="B10" s="7" t="inlineStr">
        <is>
          <t>2026-09-28</t>
        </is>
      </c>
      <c r="C10" s="8" t="n"/>
      <c r="D10" s="8" t="n"/>
      <c r="E10" s="8" t="n"/>
      <c r="F10" s="8" t="n"/>
      <c r="G10" s="8" t="n"/>
      <c r="H10" s="9">
        <f>SUM(C10:G10)</f>
        <v/>
      </c>
      <c r="I10" s="10" t="n">
        <v>10000</v>
      </c>
      <c r="J10" s="10">
        <f>I10-H10</f>
        <v/>
      </c>
      <c r="K10" s="6">
        <f>COUNTIF(C10:G10,"&gt;0")&amp;" of 5"</f>
        <v/>
      </c>
    </row>
    <row r="11">
      <c r="A11" s="6" t="n">
        <v>6</v>
      </c>
      <c r="B11" s="7" t="inlineStr">
        <is>
          <t>2026-10-13</t>
        </is>
      </c>
      <c r="C11" s="8" t="n"/>
      <c r="D11" s="8" t="n"/>
      <c r="E11" s="8" t="n"/>
      <c r="F11" s="8" t="n"/>
      <c r="G11" s="8" t="n"/>
      <c r="H11" s="9">
        <f>SUM(C11:G11)</f>
        <v/>
      </c>
      <c r="I11" s="10" t="n">
        <v>10000</v>
      </c>
      <c r="J11" s="10">
        <f>I11-H11</f>
        <v/>
      </c>
      <c r="K11" s="6">
        <f>COUNTIF(C11:G11,"&gt;0")&amp;" of 5"</f>
        <v/>
      </c>
    </row>
    <row r="12">
      <c r="A12" s="6" t="n">
        <v>7</v>
      </c>
      <c r="B12" s="7" t="inlineStr">
        <is>
          <t>2026-10-28</t>
        </is>
      </c>
      <c r="C12" s="8" t="n"/>
      <c r="D12" s="8" t="n"/>
      <c r="E12" s="8" t="n"/>
      <c r="F12" s="8" t="n"/>
      <c r="G12" s="8" t="n"/>
      <c r="H12" s="9">
        <f>SUM(C12:G12)</f>
        <v/>
      </c>
      <c r="I12" s="10" t="n">
        <v>10000</v>
      </c>
      <c r="J12" s="10">
        <f>I12-H12</f>
        <v/>
      </c>
      <c r="K12" s="6">
        <f>COUNTIF(C12:G12,"&gt;0")&amp;" of 5"</f>
        <v/>
      </c>
    </row>
    <row r="13">
      <c r="A13" s="6" t="n">
        <v>8</v>
      </c>
      <c r="B13" s="7" t="inlineStr">
        <is>
          <t>2026-11-13</t>
        </is>
      </c>
      <c r="C13" s="8" t="n"/>
      <c r="D13" s="8" t="n"/>
      <c r="E13" s="8" t="n"/>
      <c r="F13" s="8" t="n"/>
      <c r="G13" s="8" t="n"/>
      <c r="H13" s="9">
        <f>SUM(C13:G13)</f>
        <v/>
      </c>
      <c r="I13" s="10" t="n">
        <v>10000</v>
      </c>
      <c r="J13" s="10">
        <f>I13-H13</f>
        <v/>
      </c>
      <c r="K13" s="6">
        <f>COUNTIF(C13:G13,"&gt;0")&amp;" of 5"</f>
        <v/>
      </c>
    </row>
    <row r="14">
      <c r="A14" s="6" t="n">
        <v>9</v>
      </c>
      <c r="B14" s="7" t="inlineStr">
        <is>
          <t>2026-11-28</t>
        </is>
      </c>
      <c r="C14" s="8" t="n"/>
      <c r="D14" s="8" t="n"/>
      <c r="E14" s="8" t="n"/>
      <c r="F14" s="8" t="n"/>
      <c r="G14" s="8" t="n"/>
      <c r="H14" s="9">
        <f>SUM(C14:G14)</f>
        <v/>
      </c>
      <c r="I14" s="10" t="n">
        <v>10000</v>
      </c>
      <c r="J14" s="10">
        <f>I14-H14</f>
        <v/>
      </c>
      <c r="K14" s="6">
        <f>COUNTIF(C14:G14,"&gt;0")&amp;" of 5"</f>
        <v/>
      </c>
    </row>
    <row r="15">
      <c r="A15" s="6" t="n">
        <v>10</v>
      </c>
      <c r="B15" s="7" t="inlineStr">
        <is>
          <t>2026-12-13</t>
        </is>
      </c>
      <c r="C15" s="8" t="n"/>
      <c r="D15" s="8" t="n"/>
      <c r="E15" s="8" t="n"/>
      <c r="F15" s="8" t="n"/>
      <c r="G15" s="8" t="n"/>
      <c r="H15" s="9">
        <f>SUM(C15:G15)</f>
        <v/>
      </c>
      <c r="I15" s="10" t="n">
        <v>10000</v>
      </c>
      <c r="J15" s="10">
        <f>I15-H15</f>
        <v/>
      </c>
      <c r="K15" s="6">
        <f>COUNTIF(C15:G15,"&gt;0")&amp;" of 5"</f>
        <v/>
      </c>
    </row>
    <row r="17">
      <c r="B17" s="11" t="inlineStr">
        <is>
          <t>Paid in so far</t>
        </is>
      </c>
      <c r="C17" s="12">
        <f>SUM(C6:C15)</f>
        <v/>
      </c>
      <c r="D17" s="12">
        <f>SUM(D6:D15)</f>
        <v/>
      </c>
      <c r="E17" s="12">
        <f>SUM(E6:E15)</f>
        <v/>
      </c>
      <c r="F17" s="12">
        <f>SUM(F6:F15)</f>
        <v/>
      </c>
      <c r="G17" s="12">
        <f>SUM(G6:G15)</f>
        <v/>
      </c>
      <c r="H17" s="12">
        <f>SUM(H6:H15)</f>
        <v/>
      </c>
    </row>
    <row r="18">
      <c r="B18" s="11" t="inlineStr">
        <is>
          <t>Target by 13 Dec</t>
        </is>
      </c>
      <c r="C18" s="12" t="n">
        <v>20000</v>
      </c>
      <c r="D18" s="12" t="n">
        <v>20000</v>
      </c>
      <c r="E18" s="12" t="n">
        <v>20000</v>
      </c>
      <c r="F18" s="12" t="n">
        <v>20000</v>
      </c>
      <c r="G18" s="12" t="n">
        <v>20000</v>
      </c>
      <c r="H18" s="12" t="n">
        <v>20000</v>
      </c>
    </row>
    <row r="19">
      <c r="B19" s="13" t="inlineStr">
        <is>
          <t>Still to pay</t>
        </is>
      </c>
      <c r="C19" s="14">
        <f>C18-C17</f>
        <v/>
      </c>
      <c r="D19" s="14">
        <f>D18-D17</f>
        <v/>
      </c>
      <c r="E19" s="14">
        <f>E18-E17</f>
        <v/>
      </c>
      <c r="F19" s="14">
        <f>F18-F17</f>
        <v/>
      </c>
      <c r="G19" s="14">
        <f>G18-G17</f>
        <v/>
      </c>
      <c r="H19" s="14">
        <f>H18-H17</f>
        <v/>
      </c>
    </row>
    <row r="22">
      <c r="B22" s="15" t="inlineStr">
        <is>
          <t>THE POT</t>
        </is>
      </c>
    </row>
    <row r="23">
      <c r="B23" s="16" t="inlineStr">
        <is>
          <t>Collected</t>
        </is>
      </c>
      <c r="C23" s="17">
        <f>SUM(H6:H15)</f>
        <v/>
      </c>
    </row>
    <row r="24">
      <c r="B24" s="16" t="inlineStr">
        <is>
          <t>Target</t>
        </is>
      </c>
      <c r="C24" s="17" t="n">
        <v>100000</v>
      </c>
    </row>
    <row r="25">
      <c r="B25" s="16" t="inlineStr">
        <is>
          <t>Gap</t>
        </is>
      </c>
      <c r="C25" s="18">
        <f>C24-C23</f>
        <v/>
      </c>
    </row>
  </sheetData>
  <conditionalFormatting sqref="J6:J15">
    <cfRule type="cellIs" priority="1" operator="equal" dxfId="0">
      <formula>0</formula>
    </cfRule>
    <cfRule type="cellIs" priority="2" operator="greaterThan" dxfId="1">
      <formula>0</formula>
    </cfRule>
  </conditionalFormatting>
  <conditionalFormatting sqref="C6:G15">
    <cfRule type="expression" priority="3" dxfId="2">
      <formula>C6&gt;0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2026-07-25T08:48:36Z</dcterms:created>
  <dcterms:modified xsi:type="dcterms:W3CDTF">2026-07-25T08:48:36Z</dcterms:modified>
</cp:coreProperties>
</file>